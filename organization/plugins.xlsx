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<sst xmlns="http://schemas.openxmlformats.org/spreadsheetml/2006/main" count="56" uniqueCount="48">
  <si>
    <t>14/19 pts</t>
  </si>
  <si>
    <t>Web</t>
  </si>
  <si>
    <t>Álvaro</t>
  </si>
  <si>
    <t>Framework Backend</t>
  </si>
  <si>
    <t>N</t>
  </si>
  <si>
    <t>Dani</t>
  </si>
  <si>
    <t>Frameowrk Frontend</t>
  </si>
  <si>
    <t>M</t>
  </si>
  <si>
    <t>Mario</t>
  </si>
  <si>
    <t>Database for Backend</t>
  </si>
  <si>
    <t>S</t>
  </si>
  <si>
    <t>Nacho</t>
  </si>
  <si>
    <t>Score in Blockchain</t>
  </si>
  <si>
    <t>Simón</t>
  </si>
  <si>
    <t>User Management</t>
  </si>
  <si>
    <t>TOTAL</t>
  </si>
  <si>
    <t>User Managament Authentication</t>
  </si>
  <si>
    <t>Remote Authentication</t>
  </si>
  <si>
    <t>A</t>
  </si>
  <si>
    <t>Gameplay and User Experience</t>
  </si>
  <si>
    <t>Remote Players</t>
  </si>
  <si>
    <t>More than 2 Players</t>
  </si>
  <si>
    <t>User HIstory and Matchmaking</t>
  </si>
  <si>
    <t>Game Customization</t>
  </si>
  <si>
    <t>Live Chat</t>
  </si>
  <si>
    <t>AI-Algo</t>
  </si>
  <si>
    <t>AI opponent</t>
  </si>
  <si>
    <t>D</t>
  </si>
  <si>
    <t>Game stats dashboards</t>
  </si>
  <si>
    <t>Cibersecurity</t>
  </si>
  <si>
    <t>WAF/ModSecurity</t>
  </si>
  <si>
    <t>GDPR complince options</t>
  </si>
  <si>
    <t>Two-Factor Authentication</t>
  </si>
  <si>
    <t>Devops</t>
  </si>
  <si>
    <t>Infrastructure</t>
  </si>
  <si>
    <t>Monitoring system</t>
  </si>
  <si>
    <t>Designing microservers</t>
  </si>
  <si>
    <t>Graphics</t>
  </si>
  <si>
    <t>Advanced 3D Techniques</t>
  </si>
  <si>
    <t>Accesibility</t>
  </si>
  <si>
    <t>Support all devices</t>
  </si>
  <si>
    <t>Browser Compatibility</t>
  </si>
  <si>
    <t>Multiple languages</t>
  </si>
  <si>
    <t>Visually impaired users</t>
  </si>
  <si>
    <t>Server-Side Rendering(SSR)</t>
  </si>
  <si>
    <t>Server-Side Pong</t>
  </si>
  <si>
    <t>Server-side Pong with API</t>
  </si>
  <si>
    <t>CLI against web users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</si>
</sst>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b/>
      <color theme="1"/>
      <name val="Arial"/>
      <scheme val="minor"/>
    </font>
    <font/>
    <font>
      <color rgb="FFFFFFFF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rgb="FFF1C232"/>
        <bgColor rgb="FFF1C232"/>
      </patternFill>
    </fill>
    <fill>
      <patternFill patternType="solid">
        <fgColor rgb="FF8E7CC3"/>
        <bgColor rgb="FF8E7CC3"/>
      </patternFill>
    </fill>
    <fill>
      <patternFill patternType="solid">
        <fgColor rgb="FFE06666"/>
        <bgColor rgb="FFE06666"/>
      </patternFill>
    </fill>
    <fill>
      <patternFill patternType="solid">
        <fgColor rgb="FF6AA84F"/>
        <bgColor rgb="FF6AA84F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2" fillId="0" fontId="4" numFmtId="0" xfId="0" applyBorder="1" applyFont="1"/>
    <xf borderId="3" fillId="0" fontId="4" numFmtId="0" xfId="0" applyBorder="1" applyFont="1"/>
    <xf borderId="4" fillId="3" fontId="1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center" readingOrder="0"/>
    </xf>
    <xf borderId="4" fillId="4" fontId="1" numFmtId="0" xfId="0" applyAlignment="1" applyBorder="1" applyFill="1" applyFont="1">
      <alignment horizontal="center" readingOrder="0"/>
    </xf>
    <xf borderId="4" fillId="5" fontId="1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horizontal="center" readingOrder="0"/>
    </xf>
    <xf borderId="4" fillId="2" fontId="5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63"/>
    <col customWidth="1" min="2" max="2" width="7.88"/>
    <col customWidth="1" min="3" max="5" width="4.5"/>
    <col customWidth="1" min="6" max="6" width="25.5"/>
    <col customWidth="1" min="7" max="7" width="5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>
      <c r="A2" s="1"/>
      <c r="B2" s="1"/>
      <c r="C2" s="1"/>
      <c r="D2" s="1"/>
      <c r="E2" s="1"/>
      <c r="F2" s="1"/>
      <c r="G2" s="1"/>
      <c r="H2" s="1"/>
      <c r="I2" s="2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>
      <c r="A3" s="1"/>
      <c r="B3" s="3" t="s">
        <v>0</v>
      </c>
      <c r="D3" s="4"/>
      <c r="E3" s="5" t="s">
        <v>1</v>
      </c>
      <c r="F3" s="6"/>
      <c r="G3" s="7"/>
      <c r="H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>
      <c r="A4" s="1"/>
      <c r="B4" s="8" t="s">
        <v>2</v>
      </c>
      <c r="C4" s="9">
        <f>SUMIF(G:G, "A", E:E)</f>
        <v>4</v>
      </c>
      <c r="D4" s="2"/>
      <c r="E4" s="10">
        <v>2.0</v>
      </c>
      <c r="F4" s="10" t="s">
        <v>3</v>
      </c>
      <c r="G4" s="10" t="s">
        <v>4</v>
      </c>
      <c r="H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>
      <c r="A5" s="1"/>
      <c r="B5" s="11" t="s">
        <v>5</v>
      </c>
      <c r="C5" s="9">
        <f>SUMIF(G:G, "D", E:E)</f>
        <v>4</v>
      </c>
      <c r="D5" s="2"/>
      <c r="E5" s="10">
        <v>1.0</v>
      </c>
      <c r="F5" s="10" t="s">
        <v>6</v>
      </c>
      <c r="G5" s="10" t="s">
        <v>7</v>
      </c>
      <c r="H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>
      <c r="A6" s="1"/>
      <c r="B6" s="12" t="s">
        <v>8</v>
      </c>
      <c r="C6" s="9">
        <f>SUMIF(G:G, "M", E:E)</f>
        <v>3</v>
      </c>
      <c r="D6" s="2"/>
      <c r="E6" s="10">
        <v>1.0</v>
      </c>
      <c r="F6" s="10" t="s">
        <v>9</v>
      </c>
      <c r="G6" s="10" t="s">
        <v>10</v>
      </c>
      <c r="H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>
      <c r="A7" s="1"/>
      <c r="B7" s="13" t="s">
        <v>11</v>
      </c>
      <c r="C7" s="9">
        <f>SUMIF(G:G, "N", E:E)</f>
        <v>5</v>
      </c>
      <c r="D7" s="2"/>
      <c r="E7" s="10">
        <v>2.0</v>
      </c>
      <c r="F7" s="10" t="s">
        <v>12</v>
      </c>
      <c r="G7" s="10" t="s">
        <v>4</v>
      </c>
      <c r="H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>
      <c r="A8" s="1"/>
      <c r="B8" s="14" t="s">
        <v>13</v>
      </c>
      <c r="C8" s="9">
        <f>SUMIF(G:G, "S", E:E)</f>
        <v>3</v>
      </c>
      <c r="D8" s="4"/>
      <c r="E8" s="5" t="s">
        <v>14</v>
      </c>
      <c r="F8" s="6"/>
      <c r="G8" s="7"/>
      <c r="H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>
      <c r="A9" s="1"/>
      <c r="B9" s="15" t="s">
        <v>15</v>
      </c>
      <c r="C9" s="9">
        <f>SUMIF(G:G, "&lt;&gt;", E:E)
</f>
        <v>19</v>
      </c>
      <c r="D9" s="2"/>
      <c r="E9" s="10">
        <v>2.0</v>
      </c>
      <c r="F9" s="10" t="s">
        <v>16</v>
      </c>
      <c r="G9" s="10" t="s">
        <v>10</v>
      </c>
      <c r="H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>
      <c r="A10" s="1"/>
      <c r="B10" s="2"/>
      <c r="C10" s="2"/>
      <c r="D10" s="2"/>
      <c r="E10" s="10">
        <v>2.0</v>
      </c>
      <c r="F10" s="10" t="s">
        <v>17</v>
      </c>
      <c r="G10" s="10" t="s">
        <v>18</v>
      </c>
      <c r="H10" s="1"/>
      <c r="I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>
      <c r="A11" s="1"/>
      <c r="B11" s="4"/>
      <c r="C11" s="4"/>
      <c r="D11" s="4"/>
      <c r="E11" s="5" t="s">
        <v>19</v>
      </c>
      <c r="F11" s="6"/>
      <c r="G11" s="7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>
      <c r="A12" s="1"/>
      <c r="B12" s="2"/>
      <c r="C12" s="2"/>
      <c r="D12" s="2"/>
      <c r="E12" s="10">
        <v>2.0</v>
      </c>
      <c r="F12" s="10" t="s">
        <v>20</v>
      </c>
      <c r="G12" s="9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>
      <c r="A13" s="1"/>
      <c r="B13" s="2"/>
      <c r="C13" s="2"/>
      <c r="D13" s="2"/>
      <c r="E13" s="10">
        <v>2.0</v>
      </c>
      <c r="F13" s="10" t="s">
        <v>21</v>
      </c>
      <c r="G13" s="9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>
      <c r="A14" s="1"/>
      <c r="B14" s="2"/>
      <c r="C14" s="2"/>
      <c r="D14" s="2"/>
      <c r="E14" s="10">
        <v>2.0</v>
      </c>
      <c r="F14" s="10" t="s">
        <v>22</v>
      </c>
      <c r="G14" s="9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>
      <c r="A15" s="1"/>
      <c r="B15" s="2"/>
      <c r="C15" s="2"/>
      <c r="D15" s="2"/>
      <c r="E15" s="10">
        <v>1.0</v>
      </c>
      <c r="F15" s="10" t="s">
        <v>23</v>
      </c>
      <c r="G15" s="10" t="s">
        <v>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>
      <c r="A16" s="1"/>
      <c r="B16" s="2"/>
      <c r="C16" s="2"/>
      <c r="D16" s="2"/>
      <c r="E16" s="10">
        <v>2.0</v>
      </c>
      <c r="F16" s="10" t="s">
        <v>24</v>
      </c>
      <c r="G16" s="10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>
      <c r="A17" s="1"/>
      <c r="B17" s="4"/>
      <c r="C17" s="4"/>
      <c r="D17" s="4"/>
      <c r="E17" s="5" t="s">
        <v>25</v>
      </c>
      <c r="F17" s="6"/>
      <c r="G17" s="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>
      <c r="A18" s="1"/>
      <c r="B18" s="2"/>
      <c r="C18" s="2"/>
      <c r="D18" s="2"/>
      <c r="E18" s="10">
        <v>2.0</v>
      </c>
      <c r="F18" s="10" t="s">
        <v>26</v>
      </c>
      <c r="G18" s="10" t="s">
        <v>27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>
      <c r="A19" s="1"/>
      <c r="B19" s="2"/>
      <c r="C19" s="2"/>
      <c r="D19" s="2"/>
      <c r="E19" s="10">
        <v>1.0</v>
      </c>
      <c r="F19" s="10" t="s">
        <v>28</v>
      </c>
      <c r="G19" s="10" t="s">
        <v>18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>
      <c r="A20" s="1"/>
      <c r="B20" s="4"/>
      <c r="C20" s="4"/>
      <c r="D20" s="4"/>
      <c r="E20" s="5" t="s">
        <v>29</v>
      </c>
      <c r="F20" s="6"/>
      <c r="G20" s="7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>
      <c r="A21" s="1"/>
      <c r="B21" s="2"/>
      <c r="C21" s="2"/>
      <c r="D21" s="2"/>
      <c r="E21" s="10">
        <v>2.0</v>
      </c>
      <c r="F21" s="10" t="s">
        <v>30</v>
      </c>
      <c r="G21" s="10" t="s">
        <v>27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>
      <c r="A22" s="1"/>
      <c r="B22" s="2"/>
      <c r="C22" s="2"/>
      <c r="D22" s="2"/>
      <c r="E22" s="10">
        <v>1.0</v>
      </c>
      <c r="F22" s="10" t="s">
        <v>31</v>
      </c>
      <c r="G22" s="9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>
      <c r="A23" s="1"/>
      <c r="B23" s="2"/>
      <c r="C23" s="2"/>
      <c r="D23" s="2"/>
      <c r="E23" s="10">
        <v>2.0</v>
      </c>
      <c r="F23" s="10" t="s">
        <v>32</v>
      </c>
      <c r="G23" s="9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>
      <c r="A24" s="1"/>
      <c r="B24" s="1"/>
      <c r="C24" s="1"/>
      <c r="D24" s="1"/>
      <c r="E24" s="5" t="s">
        <v>33</v>
      </c>
      <c r="F24" s="6"/>
      <c r="G24" s="7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>
      <c r="A25" s="1"/>
      <c r="B25" s="2"/>
      <c r="C25" s="2"/>
      <c r="D25" s="2"/>
      <c r="E25" s="10">
        <v>2.0</v>
      </c>
      <c r="F25" s="10" t="s">
        <v>34</v>
      </c>
      <c r="G25" s="9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>
      <c r="A26" s="1"/>
      <c r="B26" s="2"/>
      <c r="C26" s="2"/>
      <c r="D26" s="2"/>
      <c r="E26" s="10">
        <v>1.0</v>
      </c>
      <c r="F26" s="10" t="s">
        <v>35</v>
      </c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>
      <c r="A27" s="1"/>
      <c r="B27" s="2"/>
      <c r="C27" s="2"/>
      <c r="D27" s="2"/>
      <c r="E27" s="10">
        <v>2.0</v>
      </c>
      <c r="F27" s="10" t="s">
        <v>36</v>
      </c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>
      <c r="A28" s="1"/>
      <c r="B28" s="1"/>
      <c r="C28" s="1"/>
      <c r="D28" s="1"/>
      <c r="E28" s="5" t="s">
        <v>37</v>
      </c>
      <c r="F28" s="6"/>
      <c r="G28" s="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>
      <c r="A29" s="1"/>
      <c r="B29" s="2"/>
      <c r="C29" s="2"/>
      <c r="D29" s="2"/>
      <c r="E29" s="10">
        <v>2.0</v>
      </c>
      <c r="F29" s="10" t="s">
        <v>38</v>
      </c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>
      <c r="A30" s="1"/>
      <c r="B30" s="1"/>
      <c r="C30" s="1"/>
      <c r="D30" s="1"/>
      <c r="E30" s="5" t="s">
        <v>39</v>
      </c>
      <c r="F30" s="6"/>
      <c r="G30" s="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>
      <c r="A31" s="1"/>
      <c r="B31" s="2"/>
      <c r="C31" s="2"/>
      <c r="D31" s="2"/>
      <c r="E31" s="10">
        <v>1.0</v>
      </c>
      <c r="F31" s="10" t="s">
        <v>40</v>
      </c>
      <c r="G31" s="10" t="s">
        <v>7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>
      <c r="A32" s="1"/>
      <c r="B32" s="2"/>
      <c r="C32" s="2"/>
      <c r="D32" s="2"/>
      <c r="E32" s="10">
        <v>1.0</v>
      </c>
      <c r="F32" s="10" t="s">
        <v>41</v>
      </c>
      <c r="G32" s="10" t="s">
        <v>18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>
      <c r="A33" s="1"/>
      <c r="B33" s="2"/>
      <c r="C33" s="2"/>
      <c r="D33" s="2"/>
      <c r="E33" s="10">
        <v>1.0</v>
      </c>
      <c r="F33" s="10" t="s">
        <v>42</v>
      </c>
      <c r="G33" s="10" t="s">
        <v>7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>
      <c r="A34" s="1"/>
      <c r="B34" s="2"/>
      <c r="C34" s="2"/>
      <c r="D34" s="2"/>
      <c r="E34" s="10">
        <v>1.0</v>
      </c>
      <c r="F34" s="10" t="s">
        <v>43</v>
      </c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>
      <c r="A35" s="1"/>
      <c r="B35" s="2"/>
      <c r="C35" s="2"/>
      <c r="D35" s="2"/>
      <c r="E35" s="10">
        <v>1.0</v>
      </c>
      <c r="F35" s="10" t="s">
        <v>44</v>
      </c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>
      <c r="A36" s="1"/>
      <c r="B36" s="1"/>
      <c r="C36" s="1"/>
      <c r="D36" s="1"/>
      <c r="E36" s="5" t="s">
        <v>45</v>
      </c>
      <c r="F36" s="6"/>
      <c r="G36" s="7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>
      <c r="A37" s="1"/>
      <c r="B37" s="2"/>
      <c r="C37" s="2"/>
      <c r="D37" s="2"/>
      <c r="E37" s="10">
        <v>2.0</v>
      </c>
      <c r="F37" s="10" t="s">
        <v>46</v>
      </c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>
      <c r="A38" s="1"/>
      <c r="B38" s="2"/>
      <c r="C38" s="2"/>
      <c r="D38" s="2"/>
      <c r="E38" s="10">
        <v>2.0</v>
      </c>
      <c r="F38" s="10" t="s">
        <v>47</v>
      </c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10">
    <mergeCell ref="E28:G28"/>
    <mergeCell ref="E30:G30"/>
    <mergeCell ref="E36:G36"/>
    <mergeCell ref="B3:C3"/>
    <mergeCell ref="E3:G3"/>
    <mergeCell ref="E8:G8"/>
    <mergeCell ref="E11:G11"/>
    <mergeCell ref="E17:G17"/>
    <mergeCell ref="E20:G20"/>
    <mergeCell ref="E24:G24"/>
  </mergeCells>
  <drawing r:id="rId1"/>
</worksheet>
</file>