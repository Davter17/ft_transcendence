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<sst xmlns="http://schemas.openxmlformats.org/spreadsheetml/2006/main" count="79" uniqueCount="69">
  <si>
    <t xml:space="preserve">14/19 pts</t>
  </si>
  <si>
    <t xml:space="preserve">Web</t>
  </si>
  <si>
    <t xml:space="preserve">Álvaro</t>
  </si>
  <si>
    <t xml:space="preserve">Framework Backend</t>
  </si>
  <si>
    <t xml:space="preserve">N</t>
  </si>
  <si>
    <t xml:space="preserve">Dani</t>
  </si>
  <si>
    <t xml:space="preserve">Frameowrk Frontend</t>
  </si>
  <si>
    <t xml:space="preserve">M</t>
  </si>
  <si>
    <t xml:space="preserve">Mario</t>
  </si>
  <si>
    <t xml:space="preserve">Database for Backend</t>
  </si>
  <si>
    <t xml:space="preserve">S</t>
  </si>
  <si>
    <t xml:space="preserve">Nacho</t>
  </si>
  <si>
    <t xml:space="preserve">User Management</t>
  </si>
  <si>
    <t xml:space="preserve">Simón</t>
  </si>
  <si>
    <t xml:space="preserve">User Managament Authentication</t>
  </si>
  <si>
    <t xml:space="preserve">TOTAL</t>
  </si>
  <si>
    <t xml:space="preserve">Game statistics and match history</t>
  </si>
  <si>
    <t xml:space="preserve">Implement remote authentication with OAuth 2.0</t>
  </si>
  <si>
    <t xml:space="preserve">A</t>
  </si>
  <si>
    <t xml:space="preserve">Advanced permissions system</t>
  </si>
  <si>
    <t xml:space="preserve">An organization system</t>
  </si>
  <si>
    <t xml:space="preserve">Implement a complete 2FA (Two-Factor Authentication) system for the</t>
  </si>
  <si>
    <t xml:space="preserve">User activity analytics and insights dashboard</t>
  </si>
  <si>
    <t xml:space="preserve">Gameplay and User Experience</t>
  </si>
  <si>
    <t xml:space="preserve">users.</t>
  </si>
  <si>
    <t xml:space="preserve">Remote Players</t>
  </si>
  <si>
    <t xml:space="preserve">Implement a complete web-based game where users can play against each other</t>
  </si>
  <si>
    <t xml:space="preserve">Multiplayer game</t>
  </si>
  <si>
    <t xml:space="preserve">Add another game with user history and matchmaking</t>
  </si>
  <si>
    <t xml:space="preserve">User HIstory and Matchmaking</t>
  </si>
  <si>
    <t xml:space="preserve">Game Customization</t>
  </si>
  <si>
    <t xml:space="preserve">Live Chat</t>
  </si>
  <si>
    <t xml:space="preserve">AI-Algo</t>
  </si>
  <si>
    <t xml:space="preserve">AI opponent</t>
  </si>
  <si>
    <t xml:space="preserve">D</t>
  </si>
  <si>
    <t xml:space="preserve">Game stats dashboards</t>
  </si>
  <si>
    <t xml:space="preserve">Implement a complete RAG system</t>
  </si>
  <si>
    <t xml:space="preserve">Implement a complete LLM system</t>
  </si>
  <si>
    <t xml:space="preserve">Recommendation system using machine learning</t>
  </si>
  <si>
    <t xml:space="preserve">Content moderation AI</t>
  </si>
  <si>
    <t xml:space="preserve">Voice/speech integration for accessibility or interaction.</t>
  </si>
  <si>
    <t xml:space="preserve">Sentiment analysis for user-generated content</t>
  </si>
  <si>
    <t xml:space="preserve">Image recognition and tagging system</t>
  </si>
  <si>
    <t xml:space="preserve">Cibersecurity</t>
  </si>
  <si>
    <t xml:space="preserve">WAF/ModSecurity</t>
  </si>
  <si>
    <t xml:space="preserve">Devops</t>
  </si>
  <si>
    <t xml:space="preserve">Infrastructure</t>
  </si>
  <si>
    <t xml:space="preserve">Monitoring system</t>
  </si>
  <si>
    <t xml:space="preserve">Designing microservers</t>
  </si>
  <si>
    <t xml:space="preserve">Graphics</t>
  </si>
  <si>
    <t xml:space="preserve">Advanced 3D Techniques</t>
  </si>
  <si>
    <t xml:space="preserve">Accesibility</t>
  </si>
  <si>
    <t xml:space="preserve">Support all devices</t>
  </si>
  <si>
    <t xml:space="preserve">Browser Compatibility</t>
  </si>
  <si>
    <t xml:space="preserve">Multiple languages</t>
  </si>
  <si>
    <t xml:space="preserve">Visually impaired users</t>
  </si>
  <si>
    <t xml:space="preserve">Server-Side Rendering(SSR)</t>
  </si>
  <si>
    <t xml:space="preserve">Server-Side Pong</t>
  </si>
  <si>
    <t xml:space="preserve">Server-side Pong with API</t>
  </si>
  <si>
    <t xml:space="preserve">CLI against web users</t>
  </si>
  <si>
    <t xml:space="preserve">Data and Analytics</t>
  </si>
  <si>
    <t xml:space="preserve">Advanced analytics dashboard with data visualization</t>
  </si>
  <si>
    <t xml:space="preserve">GDPR compliance features.</t>
  </si>
  <si>
    <t xml:space="preserve">Data export and import functionality</t>
  </si>
  <si>
    <t xml:space="preserve">Blockchain</t>
  </si>
  <si>
    <t xml:space="preserve">Score in Blockchain</t>
  </si>
  <si>
    <t xml:space="preserve">Use ICP (Internet Computer Protocol) for a backend that runs on a blockchain (incompatible with SSR)</t>
  </si>
  <si>
    <t xml:space="preserve">Implement a custom module that is not listed above</t>
  </si>
  <si>
    <t xml:space="preserve">Igual que el de arriba pero sin justificacion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</si>
</sst>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11"/>
      <name val="Cambria"/>
      <family val="0"/>
      <charset val="1"/>
    </font>
    <font>
      <sz val="11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FCC99"/>
      </patternFill>
    </fill>
    <fill>
      <patternFill patternType="solid">
        <fgColor rgb="FF8E7CC3"/>
        <bgColor rgb="FF969696"/>
      </patternFill>
    </fill>
    <fill>
      <patternFill patternType="solid">
        <fgColor rgb="FFE06666"/>
        <bgColor rgb="FFFF6600"/>
      </patternFill>
    </fill>
    <fill>
      <patternFill patternType="solid">
        <fgColor rgb="FF6AA84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E7CC3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232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C10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6" activeCellId="0" sqref="F56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4.63"/>
    <col collapsed="false" customWidth="true" hidden="false" outlineLevel="0" max="2" min="2" style="0" width="7.87"/>
    <col collapsed="false" customWidth="true" hidden="false" outlineLevel="0" max="5" min="3" style="0" width="4.5"/>
    <col collapsed="false" customWidth="true" hidden="false" outlineLevel="0" max="6" min="6" style="0" width="59.74"/>
    <col collapsed="false" customWidth="true" hidden="false" outlineLevel="0" max="7" min="7" style="0" width="5.13"/>
  </cols>
  <sheetData>
    <row r="1" customFormat="false" ht="15.7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customFormat="false" ht="15.75" hidden="false" customHeight="false" outlineLevel="0" collapsed="false">
      <c r="A3" s="1"/>
      <c r="B3" s="2" t="s">
        <v>0</v>
      </c>
      <c r="C3" s="2"/>
      <c r="D3" s="3"/>
      <c r="E3" s="4" t="s">
        <v>1</v>
      </c>
      <c r="F3" s="4"/>
      <c r="G3" s="4"/>
      <c r="H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customFormat="false" ht="15.75" hidden="false" customHeight="false" outlineLevel="0" collapsed="false">
      <c r="A4" s="1"/>
      <c r="B4" s="5" t="s">
        <v>2</v>
      </c>
      <c r="C4" s="6" t="n">
        <f aca="false">SUMIF(G:G, "A", E:E)</f>
        <v>4</v>
      </c>
      <c r="D4" s="1"/>
      <c r="E4" s="6" t="n">
        <v>2</v>
      </c>
      <c r="F4" s="6" t="s">
        <v>3</v>
      </c>
      <c r="G4" s="6" t="s">
        <v>4</v>
      </c>
      <c r="H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customFormat="false" ht="15.75" hidden="false" customHeight="false" outlineLevel="0" collapsed="false">
      <c r="A5" s="1"/>
      <c r="B5" s="7" t="s">
        <v>5</v>
      </c>
      <c r="C5" s="6" t="n">
        <f aca="false">SUMIF(G:G, "D", E:E)</f>
        <v>4</v>
      </c>
      <c r="D5" s="1"/>
      <c r="E5" s="6" t="n">
        <v>1</v>
      </c>
      <c r="F5" s="6" t="s">
        <v>6</v>
      </c>
      <c r="G5" s="6" t="s">
        <v>7</v>
      </c>
      <c r="H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customFormat="false" ht="15.75" hidden="false" customHeight="false" outlineLevel="0" collapsed="false">
      <c r="A6" s="1"/>
      <c r="B6" s="8" t="s">
        <v>8</v>
      </c>
      <c r="C6" s="6" t="n">
        <f aca="false">SUMIF(G:G, "M", E:E)</f>
        <v>3</v>
      </c>
      <c r="D6" s="1"/>
      <c r="E6" s="6" t="n">
        <v>1</v>
      </c>
      <c r="F6" s="6" t="s">
        <v>9</v>
      </c>
      <c r="G6" s="6" t="s">
        <v>10</v>
      </c>
      <c r="H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customFormat="false" ht="13.8" hidden="false" customHeight="false" outlineLevel="0" collapsed="false">
      <c r="A7" s="1"/>
      <c r="B7" s="9" t="s">
        <v>11</v>
      </c>
      <c r="C7" s="6" t="n">
        <f aca="false">SUMIF(G:G, "N", E:E)</f>
        <v>5</v>
      </c>
      <c r="D7" s="1"/>
      <c r="E7" s="4" t="s">
        <v>12</v>
      </c>
      <c r="F7" s="4"/>
      <c r="G7" s="4"/>
      <c r="H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customFormat="false" ht="13.8" hidden="false" customHeight="false" outlineLevel="0" collapsed="false">
      <c r="A8" s="1"/>
      <c r="B8" s="10" t="s">
        <v>13</v>
      </c>
      <c r="C8" s="6" t="n">
        <f aca="false">SUMIF(G:G, "S", E:E)</f>
        <v>3</v>
      </c>
      <c r="D8" s="3"/>
      <c r="E8" s="11" t="n">
        <v>2</v>
      </c>
      <c r="F8" s="11" t="s">
        <v>14</v>
      </c>
      <c r="G8" s="11" t="s">
        <v>10</v>
      </c>
      <c r="H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customFormat="false" ht="13.8" hidden="false" customHeight="false" outlineLevel="0" collapsed="false">
      <c r="A9" s="1"/>
      <c r="B9" s="12" t="s">
        <v>15</v>
      </c>
      <c r="C9" s="6" t="n">
        <f aca="false">SUMIF(G:G, "&lt;&gt;", E:E)</f>
        <v>19</v>
      </c>
      <c r="D9" s="1"/>
      <c r="E9" s="11" t="n">
        <v>1</v>
      </c>
      <c r="F9" s="11" t="s">
        <v>16</v>
      </c>
      <c r="G9" s="11"/>
      <c r="H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customFormat="false" ht="13.8" hidden="false" customHeight="false" outlineLevel="0" collapsed="false">
      <c r="A10" s="1"/>
      <c r="B10" s="1"/>
      <c r="C10" s="1"/>
      <c r="D10" s="1"/>
      <c r="E10" s="11" t="n">
        <v>1</v>
      </c>
      <c r="F10" s="11" t="s">
        <v>17</v>
      </c>
      <c r="G10" s="11" t="s">
        <v>18</v>
      </c>
      <c r="H10" s="1"/>
      <c r="I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customFormat="false" ht="13.8" hidden="false" customHeight="false" outlineLevel="0" collapsed="false">
      <c r="A11" s="1"/>
      <c r="B11" s="1"/>
      <c r="C11" s="1"/>
      <c r="D11" s="1"/>
      <c r="E11" s="11" t="n">
        <v>2</v>
      </c>
      <c r="F11" s="11" t="s">
        <v>19</v>
      </c>
      <c r="G11" s="11"/>
      <c r="H11" s="1"/>
      <c r="I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customFormat="false" ht="13.8" hidden="false" customHeight="false" outlineLevel="0" collapsed="false">
      <c r="A12" s="1"/>
      <c r="B12" s="1"/>
      <c r="C12" s="1"/>
      <c r="D12" s="1"/>
      <c r="E12" s="11" t="n">
        <v>2</v>
      </c>
      <c r="F12" s="11" t="s">
        <v>20</v>
      </c>
      <c r="G12" s="11"/>
      <c r="H12" s="1"/>
      <c r="I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customFormat="false" ht="13.8" hidden="false" customHeight="false" outlineLevel="0" collapsed="false">
      <c r="A13" s="1"/>
      <c r="B13" s="1"/>
      <c r="C13" s="1"/>
      <c r="D13" s="1"/>
      <c r="E13" s="11" t="n">
        <v>1</v>
      </c>
      <c r="F13" s="11" t="s">
        <v>21</v>
      </c>
      <c r="G13" s="11"/>
      <c r="H13" s="1"/>
      <c r="I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customFormat="false" ht="13.8" hidden="false" customHeight="false" outlineLevel="0" collapsed="false">
      <c r="A14" s="1"/>
      <c r="B14" s="1"/>
      <c r="C14" s="1"/>
      <c r="D14" s="1"/>
      <c r="E14" s="11" t="n">
        <v>1</v>
      </c>
      <c r="F14" s="11" t="s">
        <v>22</v>
      </c>
      <c r="G14" s="11"/>
      <c r="H14" s="1"/>
      <c r="I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customFormat="false" ht="13.8" hidden="false" customHeight="false" outlineLevel="0" collapsed="false">
      <c r="A15" s="1"/>
      <c r="B15" s="1"/>
      <c r="C15" s="1"/>
      <c r="D15" s="1"/>
      <c r="E15" s="4" t="s">
        <v>23</v>
      </c>
      <c r="F15" s="4" t="s">
        <v>24</v>
      </c>
      <c r="G15" s="4"/>
      <c r="H15" s="1"/>
      <c r="I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customFormat="false" ht="13.8" hidden="false" customHeight="false" outlineLevel="0" collapsed="false">
      <c r="A16" s="1"/>
      <c r="B16" s="3"/>
      <c r="C16" s="3"/>
      <c r="D16" s="3"/>
      <c r="E16" s="11" t="n">
        <v>2</v>
      </c>
      <c r="F16" s="11" t="s">
        <v>25</v>
      </c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customFormat="false" ht="13.8" hidden="false" customHeight="false" outlineLevel="0" collapsed="false">
      <c r="A17" s="1"/>
      <c r="B17" s="1"/>
      <c r="C17" s="1"/>
      <c r="D17" s="1"/>
      <c r="E17" s="11" t="n">
        <v>2</v>
      </c>
      <c r="F17" s="11" t="s">
        <v>26</v>
      </c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customFormat="false" ht="13.8" hidden="false" customHeight="false" outlineLevel="0" collapsed="false">
      <c r="A18" s="1"/>
      <c r="B18" s="1"/>
      <c r="C18" s="1"/>
      <c r="D18" s="1"/>
      <c r="E18" s="11" t="n">
        <v>2</v>
      </c>
      <c r="F18" s="11" t="s">
        <v>27</v>
      </c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customFormat="false" ht="13.8" hidden="false" customHeight="false" outlineLevel="0" collapsed="false">
      <c r="A19" s="1"/>
      <c r="B19" s="1"/>
      <c r="C19" s="1"/>
      <c r="D19" s="1"/>
      <c r="E19" s="11" t="n">
        <v>2</v>
      </c>
      <c r="F19" s="11" t="s">
        <v>28</v>
      </c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customFormat="false" ht="13.8" hidden="false" customHeight="false" outlineLevel="0" collapsed="false">
      <c r="A20" s="1"/>
      <c r="B20" s="1"/>
      <c r="C20" s="1"/>
      <c r="D20" s="1"/>
      <c r="E20" s="11" t="n">
        <v>2</v>
      </c>
      <c r="F20" s="11" t="s">
        <v>29</v>
      </c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customFormat="false" ht="13.8" hidden="false" customHeight="false" outlineLevel="0" collapsed="false">
      <c r="A21" s="1"/>
      <c r="B21" s="1"/>
      <c r="C21" s="1"/>
      <c r="D21" s="1"/>
      <c r="E21" s="11" t="n">
        <v>1</v>
      </c>
      <c r="F21" s="11" t="s">
        <v>30</v>
      </c>
      <c r="G21" s="11" t="s">
        <v>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customFormat="false" ht="13.8" hidden="false" customHeight="false" outlineLevel="0" collapsed="false">
      <c r="A22" s="1"/>
      <c r="B22" s="1"/>
      <c r="C22" s="1"/>
      <c r="D22" s="1"/>
      <c r="E22" s="11" t="n">
        <v>2</v>
      </c>
      <c r="F22" s="11" t="s">
        <v>31</v>
      </c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customFormat="false" ht="13.8" hidden="false" customHeight="false" outlineLevel="0" collapsed="false">
      <c r="A23" s="1"/>
      <c r="B23" s="1"/>
      <c r="C23" s="1"/>
      <c r="D23" s="1"/>
      <c r="E23" s="4" t="s">
        <v>32</v>
      </c>
      <c r="F23" s="4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customFormat="false" ht="13.8" hidden="false" customHeight="false" outlineLevel="0" collapsed="false">
      <c r="A24" s="1"/>
      <c r="B24" s="3"/>
      <c r="C24" s="3"/>
      <c r="D24" s="3"/>
      <c r="E24" s="11" t="n">
        <v>2</v>
      </c>
      <c r="F24" s="11" t="s">
        <v>33</v>
      </c>
      <c r="G24" s="11" t="s">
        <v>34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customFormat="false" ht="13.8" hidden="false" customHeight="false" outlineLevel="0" collapsed="false">
      <c r="A25" s="1"/>
      <c r="B25" s="1"/>
      <c r="C25" s="1"/>
      <c r="D25" s="1"/>
      <c r="E25" s="11" t="n">
        <v>1</v>
      </c>
      <c r="F25" s="11" t="s">
        <v>35</v>
      </c>
      <c r="G25" s="11" t="s">
        <v>18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customFormat="false" ht="13.8" hidden="false" customHeight="false" outlineLevel="0" collapsed="false">
      <c r="A26" s="1"/>
      <c r="B26" s="1"/>
      <c r="C26" s="1"/>
      <c r="D26" s="1"/>
      <c r="E26" s="11" t="n">
        <v>2</v>
      </c>
      <c r="F26" s="11" t="s">
        <v>36</v>
      </c>
      <c r="G26" s="1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customFormat="false" ht="13.8" hidden="false" customHeight="false" outlineLevel="0" collapsed="false">
      <c r="A27" s="1"/>
      <c r="B27" s="1"/>
      <c r="C27" s="1"/>
      <c r="D27" s="1"/>
      <c r="E27" s="11" t="n">
        <v>2</v>
      </c>
      <c r="F27" s="11" t="s">
        <v>37</v>
      </c>
      <c r="G27" s="1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customFormat="false" ht="13.8" hidden="false" customHeight="false" outlineLevel="0" collapsed="false">
      <c r="A28" s="1"/>
      <c r="B28" s="1"/>
      <c r="C28" s="1"/>
      <c r="D28" s="1"/>
      <c r="E28" s="11" t="n">
        <v>2</v>
      </c>
      <c r="F28" s="11" t="s">
        <v>38</v>
      </c>
      <c r="G28" s="1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customFormat="false" ht="13.8" hidden="false" customHeight="false" outlineLevel="0" collapsed="false">
      <c r="A29" s="1"/>
      <c r="B29" s="1"/>
      <c r="C29" s="1"/>
      <c r="D29" s="1"/>
      <c r="E29" s="11" t="n">
        <v>1</v>
      </c>
      <c r="F29" s="11" t="s">
        <v>39</v>
      </c>
      <c r="G29" s="1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customFormat="false" ht="13.8" hidden="false" customHeight="false" outlineLevel="0" collapsed="false">
      <c r="A30" s="1"/>
      <c r="B30" s="1"/>
      <c r="C30" s="1"/>
      <c r="D30" s="1"/>
      <c r="E30" s="11" t="n">
        <v>1</v>
      </c>
      <c r="F30" s="11" t="s">
        <v>40</v>
      </c>
      <c r="G30" s="1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customFormat="false" ht="13.8" hidden="false" customHeight="false" outlineLevel="0" collapsed="false">
      <c r="A31" s="1"/>
      <c r="B31" s="1"/>
      <c r="C31" s="1"/>
      <c r="D31" s="1"/>
      <c r="E31" s="11" t="n">
        <v>1</v>
      </c>
      <c r="F31" s="11" t="s">
        <v>41</v>
      </c>
      <c r="G31" s="1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customFormat="false" ht="13.8" hidden="false" customHeight="false" outlineLevel="0" collapsed="false">
      <c r="A32" s="1"/>
      <c r="B32" s="1"/>
      <c r="C32" s="1"/>
      <c r="D32" s="1"/>
      <c r="E32" s="11" t="n">
        <v>1</v>
      </c>
      <c r="F32" s="11" t="s">
        <v>42</v>
      </c>
      <c r="G32" s="11" t="s">
        <v>18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customFormat="false" ht="13.8" hidden="false" customHeight="false" outlineLevel="0" collapsed="false">
      <c r="A33" s="1"/>
      <c r="B33" s="1"/>
      <c r="C33" s="1"/>
      <c r="D33" s="1"/>
      <c r="E33" s="4" t="s">
        <v>43</v>
      </c>
      <c r="F33" s="4"/>
      <c r="G33" s="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customFormat="false" ht="13.8" hidden="false" customHeight="false" outlineLevel="0" collapsed="false">
      <c r="A34" s="1"/>
      <c r="B34" s="3"/>
      <c r="C34" s="3"/>
      <c r="D34" s="3"/>
      <c r="E34" s="11" t="n">
        <v>2</v>
      </c>
      <c r="F34" s="11" t="s">
        <v>44</v>
      </c>
      <c r="G34" s="11" t="s">
        <v>34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customFormat="false" ht="13.8" hidden="false" customHeight="false" outlineLevel="0" collapsed="false">
      <c r="A35" s="1"/>
      <c r="B35" s="1"/>
      <c r="C35" s="1"/>
      <c r="D35" s="1"/>
      <c r="E35" s="4" t="s">
        <v>45</v>
      </c>
      <c r="F35" s="4"/>
      <c r="G35" s="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customFormat="false" ht="13.8" hidden="false" customHeight="false" outlineLevel="0" collapsed="false">
      <c r="A36" s="1"/>
      <c r="B36" s="1"/>
      <c r="C36" s="1"/>
      <c r="D36" s="1"/>
      <c r="E36" s="11" t="n">
        <v>2</v>
      </c>
      <c r="F36" s="11" t="s">
        <v>46</v>
      </c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customFormat="false" ht="13.8" hidden="false" customHeight="false" outlineLevel="0" collapsed="false">
      <c r="A37" s="1"/>
      <c r="B37" s="1"/>
      <c r="C37" s="1"/>
      <c r="D37" s="1"/>
      <c r="E37" s="11" t="n">
        <v>1</v>
      </c>
      <c r="F37" s="11" t="s">
        <v>47</v>
      </c>
      <c r="G37" s="1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customFormat="false" ht="13.8" hidden="false" customHeight="false" outlineLevel="0" collapsed="false">
      <c r="A38" s="1"/>
      <c r="B38" s="1"/>
      <c r="C38" s="1"/>
      <c r="D38" s="1"/>
      <c r="E38" s="11" t="n">
        <v>2</v>
      </c>
      <c r="F38" s="11" t="s">
        <v>48</v>
      </c>
      <c r="G38" s="1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customFormat="false" ht="13.8" hidden="false" customHeight="false" outlineLevel="0" collapsed="false">
      <c r="A39" s="1"/>
      <c r="B39" s="1"/>
      <c r="C39" s="1"/>
      <c r="D39" s="1"/>
      <c r="E39" s="4" t="s">
        <v>49</v>
      </c>
      <c r="F39" s="4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customFormat="false" ht="13.8" hidden="false" customHeight="false" outlineLevel="0" collapsed="false">
      <c r="A40" s="1"/>
      <c r="B40" s="1"/>
      <c r="C40" s="1"/>
      <c r="D40" s="1"/>
      <c r="E40" s="11" t="n">
        <v>2</v>
      </c>
      <c r="F40" s="11" t="s">
        <v>50</v>
      </c>
      <c r="G40" s="1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customFormat="false" ht="13.8" hidden="false" customHeight="false" outlineLevel="0" collapsed="false">
      <c r="A41" s="1"/>
      <c r="B41" s="1"/>
      <c r="C41" s="1"/>
      <c r="D41" s="1"/>
      <c r="E41" s="4" t="s">
        <v>51</v>
      </c>
      <c r="F41" s="4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customFormat="false" ht="13.8" hidden="false" customHeight="false" outlineLevel="0" collapsed="false">
      <c r="A42" s="1"/>
      <c r="B42" s="1"/>
      <c r="C42" s="1"/>
      <c r="D42" s="1"/>
      <c r="E42" s="11" t="n">
        <v>1</v>
      </c>
      <c r="F42" s="11" t="s">
        <v>52</v>
      </c>
      <c r="G42" s="11" t="s">
        <v>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customFormat="false" ht="13.8" hidden="false" customHeight="false" outlineLevel="0" collapsed="false">
      <c r="A43" s="1"/>
      <c r="B43" s="1"/>
      <c r="C43" s="1"/>
      <c r="D43" s="1"/>
      <c r="E43" s="11" t="n">
        <v>1</v>
      </c>
      <c r="F43" s="11" t="s">
        <v>53</v>
      </c>
      <c r="G43" s="1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customFormat="false" ht="13.8" hidden="false" customHeight="false" outlineLevel="0" collapsed="false">
      <c r="A44" s="1"/>
      <c r="B44" s="1"/>
      <c r="C44" s="1"/>
      <c r="D44" s="1"/>
      <c r="E44" s="11" t="n">
        <v>1</v>
      </c>
      <c r="F44" s="11" t="s">
        <v>54</v>
      </c>
      <c r="G44" s="11" t="s">
        <v>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customFormat="false" ht="13.8" hidden="false" customHeight="false" outlineLevel="0" collapsed="false">
      <c r="A45" s="1"/>
      <c r="B45" s="1"/>
      <c r="C45" s="1"/>
      <c r="D45" s="1"/>
      <c r="E45" s="11" t="n">
        <v>1</v>
      </c>
      <c r="F45" s="11" t="s">
        <v>55</v>
      </c>
      <c r="G45" s="1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customFormat="false" ht="13.8" hidden="false" customHeight="false" outlineLevel="0" collapsed="false">
      <c r="A46" s="1"/>
      <c r="B46" s="1"/>
      <c r="C46" s="1"/>
      <c r="D46" s="1"/>
      <c r="E46" s="11" t="n">
        <v>1</v>
      </c>
      <c r="F46" s="11" t="s">
        <v>56</v>
      </c>
      <c r="G46" s="1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customFormat="false" ht="13.8" hidden="false" customHeight="false" outlineLevel="0" collapsed="false">
      <c r="A47" s="1"/>
      <c r="B47" s="1"/>
      <c r="C47" s="1"/>
      <c r="D47" s="1"/>
      <c r="E47" s="4" t="s">
        <v>57</v>
      </c>
      <c r="F47" s="4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customFormat="false" ht="13.8" hidden="false" customHeight="false" outlineLevel="0" collapsed="false">
      <c r="A48" s="1"/>
      <c r="B48" s="1"/>
      <c r="C48" s="1"/>
      <c r="D48" s="1"/>
      <c r="E48" s="11" t="n">
        <v>2</v>
      </c>
      <c r="F48" s="11" t="s">
        <v>58</v>
      </c>
      <c r="G48" s="1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customFormat="false" ht="13.8" hidden="false" customHeight="false" outlineLevel="0" collapsed="false">
      <c r="A49" s="1"/>
      <c r="B49" s="1"/>
      <c r="C49" s="1"/>
      <c r="D49" s="1"/>
      <c r="E49" s="11" t="n">
        <v>2</v>
      </c>
      <c r="F49" s="11" t="s">
        <v>59</v>
      </c>
      <c r="G49" s="1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customFormat="false" ht="13.8" hidden="false" customHeight="false" outlineLevel="0" collapsed="false">
      <c r="A50" s="1"/>
      <c r="B50" s="1"/>
      <c r="C50" s="1"/>
      <c r="D50" s="1"/>
      <c r="E50" s="4" t="s">
        <v>60</v>
      </c>
      <c r="F50" s="4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customFormat="false" ht="13.8" hidden="false" customHeight="false" outlineLevel="0" collapsed="false">
      <c r="A51" s="1"/>
      <c r="B51" s="1"/>
      <c r="C51" s="1"/>
      <c r="D51" s="1"/>
      <c r="E51" s="11" t="n">
        <v>2</v>
      </c>
      <c r="F51" s="11" t="s">
        <v>61</v>
      </c>
      <c r="G51" s="1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customFormat="false" ht="13.8" hidden="false" customHeight="false" outlineLevel="0" collapsed="false">
      <c r="A52" s="1"/>
      <c r="B52" s="1"/>
      <c r="C52" s="1"/>
      <c r="D52" s="1"/>
      <c r="E52" s="11" t="n">
        <v>1</v>
      </c>
      <c r="F52" s="13" t="s">
        <v>62</v>
      </c>
      <c r="G52" s="1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customFormat="false" ht="13.8" hidden="false" customHeight="false" outlineLevel="0" collapsed="false">
      <c r="A53" s="1"/>
      <c r="B53" s="1"/>
      <c r="C53" s="1"/>
      <c r="D53" s="1"/>
      <c r="E53" s="11" t="n">
        <v>1</v>
      </c>
      <c r="F53" s="11" t="s">
        <v>63</v>
      </c>
      <c r="G53" s="11" t="s">
        <v>18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customFormat="false" ht="13.8" hidden="false" customHeight="false" outlineLevel="0" collapsed="false">
      <c r="A54" s="1"/>
      <c r="B54" s="1"/>
      <c r="C54" s="1"/>
      <c r="D54" s="1"/>
      <c r="E54" s="4" t="s">
        <v>64</v>
      </c>
      <c r="F54" s="4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customFormat="false" ht="13.8" hidden="false" customHeight="false" outlineLevel="0" collapsed="false">
      <c r="A55" s="1"/>
      <c r="B55" s="1"/>
      <c r="C55" s="1"/>
      <c r="D55" s="1"/>
      <c r="E55" s="11" t="n">
        <v>2</v>
      </c>
      <c r="F55" s="11" t="s">
        <v>65</v>
      </c>
      <c r="G55" s="11" t="s">
        <v>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customFormat="false" ht="13.8" hidden="false" customHeight="false" outlineLevel="0" collapsed="false">
      <c r="A56" s="1"/>
      <c r="B56" s="1"/>
      <c r="C56" s="1"/>
      <c r="D56" s="1"/>
      <c r="E56" s="11" t="n">
        <v>1</v>
      </c>
      <c r="F56" s="11" t="s">
        <v>66</v>
      </c>
      <c r="G56" s="1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customFormat="false" ht="13.8" hidden="false" customHeight="false" outlineLevel="0" collapsed="false">
      <c r="A57" s="1"/>
      <c r="B57" s="1"/>
      <c r="C57" s="1"/>
      <c r="D57" s="1"/>
      <c r="E57" s="4" t="s">
        <v>64</v>
      </c>
      <c r="F57" s="4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customFormat="false" ht="13.8" hidden="false" customHeight="false" outlineLevel="0" collapsed="false">
      <c r="A58" s="1"/>
      <c r="B58" s="1"/>
      <c r="C58" s="1"/>
      <c r="D58" s="1"/>
      <c r="E58" s="6" t="n">
        <v>2</v>
      </c>
      <c r="F58" s="6" t="s">
        <v>67</v>
      </c>
      <c r="G58" s="6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customFormat="false" ht="13.8" hidden="false" customHeight="false" outlineLevel="0" collapsed="false">
      <c r="A59" s="1"/>
      <c r="B59" s="1"/>
      <c r="C59" s="1"/>
      <c r="D59" s="1"/>
      <c r="E59" s="6" t="n">
        <v>1</v>
      </c>
      <c r="F59" s="6" t="s">
        <v>68</v>
      </c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customFormat="false" ht="13.8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customFormat="false" ht="13.8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customFormat="false" ht="13.8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customFormat="false" ht="13.8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customFormat="false" ht="13.8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customFormat="false" ht="13.8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customFormat="false" ht="13.8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customFormat="false" ht="13.8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customFormat="false" ht="13.8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customFormat="false" ht="13.8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customFormat="false" ht="13.8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customFormat="false" ht="13.8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customFormat="false" ht="13.8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customFormat="false" ht="13.8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customFormat="false" ht="13.8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customFormat="false" ht="13.8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customFormat="false" ht="13.8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customFormat="false" ht="13.8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customFormat="false" ht="13.8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customFormat="false" ht="13.8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customFormat="false" ht="13.8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customFormat="false" ht="13.8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customFormat="false" ht="13.8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customFormat="false" ht="13.8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customFormat="false" ht="13.8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customFormat="false" ht="13.8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customFormat="false" ht="13.8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customFormat="false" ht="13.8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customFormat="false" ht="13.8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customFormat="false" ht="13.8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customFormat="false" ht="13.8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customFormat="false" ht="13.8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customFormat="false" ht="13.8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customFormat="false" ht="13.8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customFormat="false" ht="13.8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customFormat="false" ht="13.8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customFormat="false" ht="13.8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customFormat="false" ht="13.8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customFormat="false" ht="13.8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customFormat="false" ht="13.8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customFormat="false" ht="13.8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customFormat="false" ht="13.8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customFormat="false" ht="13.8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customFormat="false" ht="13.8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customFormat="false" ht="13.8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customFormat="false" ht="13.8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customFormat="false" ht="13.8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customFormat="false" ht="13.8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customFormat="false" ht="13.8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customFormat="false" ht="13.8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customFormat="false" ht="13.8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customFormat="false" ht="13.8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customFormat="false" ht="13.8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customFormat="false" ht="13.8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customFormat="false" ht="13.8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customFormat="false" ht="13.8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customFormat="false" ht="13.8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customFormat="false" ht="13.8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customFormat="false" ht="13.8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customFormat="false" ht="13.8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customFormat="false" ht="13.8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customFormat="false" ht="13.8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customFormat="false" ht="13.8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customFormat="false" ht="13.8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customFormat="false" ht="13.8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customFormat="false" ht="13.8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customFormat="false" ht="13.8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customFormat="false" ht="13.8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customFormat="false" ht="13.8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customFormat="false" ht="13.8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customFormat="false" ht="13.8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customFormat="false" ht="13.8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customFormat="false" ht="13.8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customFormat="false" ht="13.8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customFormat="false" ht="13.8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customFormat="false" ht="13.8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customFormat="false" ht="13.8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customFormat="false" ht="13.8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customFormat="false" ht="13.8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customFormat="false" ht="13.8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customFormat="false" ht="13.8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customFormat="false" ht="13.8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customFormat="false" ht="13.8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customFormat="false" ht="13.8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customFormat="false" ht="13.8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customFormat="false" ht="13.8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customFormat="false" ht="13.8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customFormat="false" ht="13.8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customFormat="false" ht="13.8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customFormat="false" ht="13.8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customFormat="false" ht="13.8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customFormat="false" ht="13.8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customFormat="false" ht="13.8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customFormat="false" ht="13.8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customFormat="false" ht="13.8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customFormat="false" ht="13.8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customFormat="false" ht="13.8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customFormat="false" ht="13.8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customFormat="false" ht="13.8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customFormat="false" ht="13.8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customFormat="false" ht="13.8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customFormat="false" ht="13.8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customFormat="false" ht="13.8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customFormat="false" ht="13.8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customFormat="false" ht="13.8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customFormat="false" ht="13.8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customFormat="false" ht="13.8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customFormat="false" ht="13.8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customFormat="false" ht="13.8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customFormat="false" ht="13.8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customFormat="false" ht="13.8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customFormat="false" ht="13.8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customFormat="false" ht="13.8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customFormat="false" ht="13.8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customFormat="false" ht="13.8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customFormat="false" ht="13.8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customFormat="false" ht="13.8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customFormat="false" ht="13.8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customFormat="false" ht="13.8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customFormat="false" ht="13.8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customFormat="false" ht="13.8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customFormat="false" ht="13.8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customFormat="false" ht="13.8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customFormat="false" ht="13.8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customFormat="false" ht="13.8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customFormat="false" ht="13.8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customFormat="false" ht="13.8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customFormat="false" ht="13.8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customFormat="false" ht="13.8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customFormat="false" ht="13.8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customFormat="false" ht="13.8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customFormat="false" ht="13.8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customFormat="false" ht="13.8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customFormat="false" ht="13.8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customFormat="false" ht="13.8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customFormat="false" ht="13.8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customFormat="false" ht="13.8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customFormat="false" ht="13.8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customFormat="false" ht="13.8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customFormat="false" ht="13.8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customFormat="false" ht="13.8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customFormat="false" ht="13.8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customFormat="false" ht="13.8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customFormat="false" ht="13.8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customFormat="false" ht="13.8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customFormat="false" ht="13.8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customFormat="false" ht="13.8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customFormat="false" ht="13.8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customFormat="false" ht="13.8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customFormat="false" ht="13.8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customFormat="false" ht="13.8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customFormat="false" ht="13.8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customFormat="false" ht="13.8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customFormat="false" ht="13.8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customFormat="false" ht="13.8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customFormat="false" ht="13.8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customFormat="false" ht="13.8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customFormat="false" ht="13.8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customFormat="false" ht="13.8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customFormat="false" ht="13.8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customFormat="false" ht="13.8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customFormat="false" ht="13.8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customFormat="false" ht="13.8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customFormat="false" ht="13.8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customFormat="false" ht="13.8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customFormat="false" ht="13.8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customFormat="false" ht="13.8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customFormat="false" ht="13.8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customFormat="false" ht="13.8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customFormat="false" ht="13.8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customFormat="false" ht="13.8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customFormat="false" ht="13.8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customFormat="false" ht="13.8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customFormat="false" ht="13.8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customFormat="false" ht="13.8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customFormat="false" ht="13.8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customFormat="false" ht="13.8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customFormat="false" ht="13.8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customFormat="false" ht="13.8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customFormat="false" ht="13.8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customFormat="false" ht="13.8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customFormat="false" ht="13.8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customFormat="false" ht="13.8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customFormat="false" ht="13.8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customFormat="false" ht="13.8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customFormat="false" ht="13.8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customFormat="false" ht="13.8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customFormat="false" ht="13.8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customFormat="false" ht="13.8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customFormat="false" ht="13.8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customFormat="false" ht="13.8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customFormat="false" ht="13.8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customFormat="false" ht="13.8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customFormat="false" ht="13.8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customFormat="false" ht="13.8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customFormat="false" ht="13.8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customFormat="false" ht="13.8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customFormat="false" ht="13.8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customFormat="false" ht="13.8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customFormat="false" ht="13.8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customFormat="false" ht="13.8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customFormat="false" ht="13.8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customFormat="false" ht="13.8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customFormat="false" ht="13.8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customFormat="false" ht="13.8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customFormat="false" ht="13.8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customFormat="false" ht="13.8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customFormat="false" ht="13.8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customFormat="false" ht="13.8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customFormat="false" ht="13.8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customFormat="false" ht="13.8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customFormat="false" ht="13.8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customFormat="false" ht="13.8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customFormat="false" ht="13.8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customFormat="false" ht="13.8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customFormat="false" ht="13.8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customFormat="false" ht="13.8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customFormat="false" ht="13.8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customFormat="false" ht="13.8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customFormat="false" ht="13.8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customFormat="false" ht="13.8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customFormat="false" ht="13.8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customFormat="false" ht="13.8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customFormat="false" ht="13.8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customFormat="false" ht="13.8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customFormat="false" ht="13.8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customFormat="false" ht="13.8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customFormat="false" ht="13.8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customFormat="false" ht="13.8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customFormat="false" ht="13.8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customFormat="false" ht="13.8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customFormat="false" ht="13.8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customFormat="false" ht="13.8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customFormat="false" ht="13.8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customFormat="false" ht="13.8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customFormat="false" ht="13.8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customFormat="false" ht="13.8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customFormat="false" ht="13.8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customFormat="false" ht="13.8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customFormat="false" ht="13.8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customFormat="false" ht="13.8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customFormat="false" ht="13.8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customFormat="false" ht="13.8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customFormat="false" ht="13.8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customFormat="false" ht="13.8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customFormat="false" ht="13.8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customFormat="false" ht="13.8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customFormat="false" ht="13.8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customFormat="false" ht="13.8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customFormat="false" ht="13.8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customFormat="false" ht="13.8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customFormat="false" ht="13.8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customFormat="false" ht="13.8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customFormat="false" ht="13.8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customFormat="false" ht="13.8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customFormat="false" ht="13.8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customFormat="false" ht="13.8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customFormat="false" ht="13.8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customFormat="false" ht="13.8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customFormat="false" ht="13.8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customFormat="false" ht="13.8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customFormat="false" ht="13.8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customFormat="false" ht="13.8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customFormat="false" ht="13.8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customFormat="false" ht="13.8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customFormat="false" ht="13.8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customFormat="false" ht="13.8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customFormat="false" ht="13.8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customFormat="false" ht="13.8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customFormat="false" ht="13.8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customFormat="false" ht="13.8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customFormat="false" ht="13.8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customFormat="false" ht="13.8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customFormat="false" ht="13.8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customFormat="false" ht="13.8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customFormat="false" ht="13.8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customFormat="false" ht="13.8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customFormat="false" ht="13.8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customFormat="false" ht="13.8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customFormat="false" ht="13.8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customFormat="false" ht="13.8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customFormat="false" ht="13.8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customFormat="false" ht="13.8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customFormat="false" ht="13.8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customFormat="false" ht="13.8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customFormat="false" ht="13.8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customFormat="false" ht="13.8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customFormat="false" ht="13.8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customFormat="false" ht="13.8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customFormat="false" ht="13.8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customFormat="false" ht="13.8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customFormat="false" ht="13.8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customFormat="false" ht="13.8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customFormat="false" ht="13.8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customFormat="false" ht="13.8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customFormat="false" ht="13.8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customFormat="false" ht="13.8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customFormat="false" ht="13.8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customFormat="false" ht="13.8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customFormat="false" ht="13.8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customFormat="false" ht="13.8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customFormat="false" ht="13.8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customFormat="false" ht="13.8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customFormat="false" ht="13.8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customFormat="false" ht="13.8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customFormat="false" ht="13.8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customFormat="false" ht="13.8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customFormat="false" ht="13.8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customFormat="false" ht="13.8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customFormat="false" ht="13.8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customFormat="false" ht="13.8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customFormat="false" ht="13.8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customFormat="false" ht="13.8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customFormat="false" ht="13.8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customFormat="false" ht="13.8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customFormat="false" ht="13.8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customFormat="false" ht="13.8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customFormat="false" ht="13.8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customFormat="false" ht="13.8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customFormat="false" ht="13.8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customFormat="false" ht="13.8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customFormat="false" ht="13.8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customFormat="false" ht="13.8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customFormat="false" ht="13.8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customFormat="false" ht="13.8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customFormat="false" ht="13.8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customFormat="false" ht="13.8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customFormat="false" ht="13.8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customFormat="false" ht="13.8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customFormat="false" ht="13.8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customFormat="false" ht="13.8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customFormat="false" ht="13.8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customFormat="false" ht="13.8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customFormat="false" ht="13.8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customFormat="false" ht="13.8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customFormat="false" ht="13.8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customFormat="false" ht="13.8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customFormat="false" ht="13.8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customFormat="false" ht="13.8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customFormat="false" ht="13.8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customFormat="false" ht="13.8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customFormat="false" ht="13.8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customFormat="false" ht="13.8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customFormat="false" ht="13.8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customFormat="false" ht="13.8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customFormat="false" ht="13.8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customFormat="false" ht="13.8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customFormat="false" ht="13.8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customFormat="false" ht="13.8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customFormat="false" ht="13.8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customFormat="false" ht="13.8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customFormat="false" ht="13.8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customFormat="false" ht="13.8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customFormat="false" ht="13.8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customFormat="false" ht="13.8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customFormat="false" ht="13.8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customFormat="false" ht="13.8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customFormat="false" ht="13.8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customFormat="false" ht="13.8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customFormat="false" ht="13.8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customFormat="false" ht="13.8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customFormat="false" ht="13.8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customFormat="false" ht="13.8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customFormat="false" ht="13.8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customFormat="false" ht="13.8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customFormat="false" ht="13.8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customFormat="false" ht="13.8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customFormat="false" ht="13.8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customFormat="false" ht="13.8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customFormat="false" ht="13.8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customFormat="false" ht="13.8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customFormat="false" ht="13.8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customFormat="false" ht="13.8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customFormat="false" ht="13.8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customFormat="false" ht="13.8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customFormat="false" ht="13.8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customFormat="false" ht="13.8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customFormat="false" ht="13.8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customFormat="false" ht="13.8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customFormat="false" ht="13.8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customFormat="false" ht="13.8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customFormat="false" ht="13.8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customFormat="false" ht="13.8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customFormat="false" ht="13.8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customFormat="false" ht="13.8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customFormat="false" ht="13.8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customFormat="false" ht="13.8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customFormat="false" ht="13.8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customFormat="false" ht="13.8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customFormat="false" ht="13.8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customFormat="false" ht="13.8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customFormat="false" ht="13.8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customFormat="false" ht="13.8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customFormat="false" ht="13.8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customFormat="false" ht="13.8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customFormat="false" ht="13.8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customFormat="false" ht="13.8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customFormat="false" ht="13.8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customFormat="false" ht="13.8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customFormat="false" ht="13.8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customFormat="false" ht="13.8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customFormat="false" ht="13.8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customFormat="false" ht="13.8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customFormat="false" ht="13.8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customFormat="false" ht="13.8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customFormat="false" ht="13.8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customFormat="false" ht="13.8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customFormat="false" ht="13.8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customFormat="false" ht="13.8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customFormat="false" ht="13.8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customFormat="false" ht="13.8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customFormat="false" ht="13.8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customFormat="false" ht="13.8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customFormat="false" ht="13.8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customFormat="false" ht="13.8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customFormat="false" ht="13.8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customFormat="false" ht="13.8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customFormat="false" ht="13.8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customFormat="false" ht="13.8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customFormat="false" ht="13.8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customFormat="false" ht="13.8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customFormat="false" ht="13.8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customFormat="false" ht="13.8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customFormat="false" ht="13.8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customFormat="false" ht="13.8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customFormat="false" ht="13.8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customFormat="false" ht="13.8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customFormat="false" ht="13.8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customFormat="false" ht="13.8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customFormat="false" ht="13.8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customFormat="false" ht="13.8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customFormat="false" ht="13.8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customFormat="false" ht="13.8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customFormat="false" ht="13.8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customFormat="false" ht="13.8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customFormat="false" ht="13.8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customFormat="false" ht="13.8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customFormat="false" ht="13.8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customFormat="false" ht="13.8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customFormat="false" ht="13.8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customFormat="false" ht="13.8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customFormat="false" ht="13.8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customFormat="false" ht="13.8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customFormat="false" ht="13.8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customFormat="false" ht="13.8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customFormat="false" ht="13.8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customFormat="false" ht="13.8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customFormat="false" ht="13.8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customFormat="false" ht="13.8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customFormat="false" ht="13.8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customFormat="false" ht="13.8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customFormat="false" ht="13.8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customFormat="false" ht="13.8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customFormat="false" ht="13.8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customFormat="false" ht="13.8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customFormat="false" ht="13.8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customFormat="false" ht="13.8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customFormat="false" ht="13.8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customFormat="false" ht="13.8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customFormat="false" ht="13.8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customFormat="false" ht="13.8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customFormat="false" ht="13.8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customFormat="false" ht="13.8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customFormat="false" ht="13.8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customFormat="false" ht="13.8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customFormat="false" ht="13.8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customFormat="false" ht="13.8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customFormat="false" ht="13.8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customFormat="false" ht="13.8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customFormat="false" ht="13.8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customFormat="false" ht="13.8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customFormat="false" ht="13.8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customFormat="false" ht="13.8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customFormat="false" ht="13.8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customFormat="false" ht="13.8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customFormat="false" ht="13.8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customFormat="false" ht="13.8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customFormat="false" ht="13.8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customFormat="false" ht="13.8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customFormat="false" ht="13.8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customFormat="false" ht="13.8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customFormat="false" ht="13.8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customFormat="false" ht="13.8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customFormat="false" ht="13.8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customFormat="false" ht="13.8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customFormat="false" ht="13.8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customFormat="false" ht="13.8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customFormat="false" ht="13.8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customFormat="false" ht="13.8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customFormat="false" ht="13.8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customFormat="false" ht="13.8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customFormat="false" ht="13.8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customFormat="false" ht="13.8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customFormat="false" ht="13.8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customFormat="false" ht="13.8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customFormat="false" ht="13.8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customFormat="false" ht="13.8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customFormat="false" ht="13.8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customFormat="false" ht="13.8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customFormat="false" ht="13.8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customFormat="false" ht="13.8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customFormat="false" ht="13.8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customFormat="false" ht="13.8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customFormat="false" ht="13.8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customFormat="false" ht="13.8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customFormat="false" ht="13.8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customFormat="false" ht="13.8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customFormat="false" ht="13.8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customFormat="false" ht="13.8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customFormat="false" ht="13.8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customFormat="false" ht="13.8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customFormat="false" ht="13.8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customFormat="false" ht="13.8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customFormat="false" ht="13.8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customFormat="false" ht="13.8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customFormat="false" ht="13.8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customFormat="false" ht="13.8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customFormat="false" ht="13.8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customFormat="false" ht="13.8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customFormat="false" ht="13.8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customFormat="false" ht="13.8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customFormat="false" ht="13.8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customFormat="false" ht="13.8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customFormat="false" ht="13.8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customFormat="false" ht="13.8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customFormat="false" ht="13.8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customFormat="false" ht="13.8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customFormat="false" ht="13.8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customFormat="false" ht="13.8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customFormat="false" ht="13.8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customFormat="false" ht="13.8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customFormat="false" ht="13.8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customFormat="false" ht="13.8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customFormat="false" ht="13.8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customFormat="false" ht="13.8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customFormat="false" ht="13.8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customFormat="false" ht="13.8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customFormat="false" ht="13.8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customFormat="false" ht="13.8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customFormat="false" ht="13.8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customFormat="false" ht="13.8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customFormat="false" ht="13.8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customFormat="false" ht="13.8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customFormat="false" ht="13.8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customFormat="false" ht="13.8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customFormat="false" ht="13.8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customFormat="false" ht="13.8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customFormat="false" ht="13.8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customFormat="false" ht="13.8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customFormat="false" ht="13.8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customFormat="false" ht="13.8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customFormat="false" ht="13.8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customFormat="false" ht="13.8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customFormat="false" ht="13.8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customFormat="false" ht="13.8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customFormat="false" ht="13.8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customFormat="false" ht="13.8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customFormat="false" ht="13.8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customFormat="false" ht="13.8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customFormat="false" ht="13.8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customFormat="false" ht="13.8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customFormat="false" ht="13.8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customFormat="false" ht="13.8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customFormat="false" ht="13.8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customFormat="false" ht="13.8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customFormat="false" ht="13.8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customFormat="false" ht="13.8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customFormat="false" ht="13.8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customFormat="false" ht="13.8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customFormat="false" ht="13.8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customFormat="false" ht="13.8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customFormat="false" ht="13.8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customFormat="false" ht="13.8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customFormat="false" ht="13.8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customFormat="false" ht="13.8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customFormat="false" ht="13.8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customFormat="false" ht="13.8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customFormat="false" ht="13.8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customFormat="false" ht="13.8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customFormat="false" ht="13.8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customFormat="false" ht="13.8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customFormat="false" ht="13.8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customFormat="false" ht="13.8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customFormat="false" ht="13.8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customFormat="false" ht="13.8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customFormat="false" ht="13.8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customFormat="false" ht="13.8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customFormat="false" ht="13.8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customFormat="false" ht="13.8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customFormat="false" ht="13.8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customFormat="false" ht="13.8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customFormat="false" ht="13.8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customFormat="false" ht="13.8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customFormat="false" ht="13.8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customFormat="false" ht="13.8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customFormat="false" ht="13.8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customFormat="false" ht="13.8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customFormat="false" ht="13.8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customFormat="false" ht="13.8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customFormat="false" ht="13.8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customFormat="false" ht="13.8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customFormat="false" ht="13.8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customFormat="false" ht="13.8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customFormat="false" ht="13.8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customFormat="false" ht="13.8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customFormat="false" ht="13.8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customFormat="false" ht="13.8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customFormat="false" ht="13.8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customFormat="false" ht="13.8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customFormat="false" ht="13.8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customFormat="false" ht="13.8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customFormat="false" ht="13.8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customFormat="false" ht="13.8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customFormat="false" ht="13.8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customFormat="false" ht="13.8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customFormat="false" ht="13.8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customFormat="false" ht="13.8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customFormat="false" ht="13.8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customFormat="false" ht="13.8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customFormat="false" ht="13.8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customFormat="false" ht="13.8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customFormat="false" ht="13.8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customFormat="false" ht="13.8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customFormat="false" ht="13.8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customFormat="false" ht="13.8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customFormat="false" ht="13.8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customFormat="false" ht="13.8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customFormat="false" ht="13.8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customFormat="false" ht="13.8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customFormat="false" ht="13.8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customFormat="false" ht="13.8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customFormat="false" ht="13.8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customFormat="false" ht="13.8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customFormat="false" ht="13.8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customFormat="false" ht="13.8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customFormat="false" ht="13.8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customFormat="false" ht="13.8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customFormat="false" ht="13.8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customFormat="false" ht="13.8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customFormat="false" ht="13.8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customFormat="false" ht="13.8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customFormat="false" ht="13.8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customFormat="false" ht="13.8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customFormat="false" ht="13.8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customFormat="false" ht="13.8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customFormat="false" ht="13.8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customFormat="false" ht="13.8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customFormat="false" ht="13.8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customFormat="false" ht="13.8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customFormat="false" ht="13.8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customFormat="false" ht="13.8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customFormat="false" ht="13.8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customFormat="false" ht="13.8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customFormat="false" ht="13.8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customFormat="false" ht="13.8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customFormat="false" ht="13.8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customFormat="false" ht="13.8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customFormat="false" ht="13.8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customFormat="false" ht="13.8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customFormat="false" ht="13.8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customFormat="false" ht="13.8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customFormat="false" ht="13.8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customFormat="false" ht="13.8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customFormat="false" ht="13.8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customFormat="false" ht="13.8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customFormat="false" ht="13.8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customFormat="false" ht="13.8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customFormat="false" ht="13.8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customFormat="false" ht="13.8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customFormat="false" ht="13.8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customFormat="false" ht="13.8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customFormat="false" ht="13.8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customFormat="false" ht="13.8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customFormat="false" ht="13.8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customFormat="false" ht="13.8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customFormat="false" ht="13.8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customFormat="false" ht="13.8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customFormat="false" ht="13.8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customFormat="false" ht="13.8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customFormat="false" ht="13.8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customFormat="false" ht="13.8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customFormat="false" ht="13.8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customFormat="false" ht="13.8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customFormat="false" ht="13.8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customFormat="false" ht="13.8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customFormat="false" ht="13.8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customFormat="false" ht="13.8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customFormat="false" ht="13.8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customFormat="false" ht="13.8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customFormat="false" ht="13.8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customFormat="false" ht="13.8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customFormat="false" ht="13.8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customFormat="false" ht="13.8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customFormat="false" ht="13.8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customFormat="false" ht="13.8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customFormat="false" ht="13.8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customFormat="false" ht="13.8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customFormat="false" ht="13.8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customFormat="false" ht="13.8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customFormat="false" ht="13.8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customFormat="false" ht="13.8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customFormat="false" ht="13.8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customFormat="false" ht="13.8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customFormat="false" ht="13.8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customFormat="false" ht="13.8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customFormat="false" ht="13.8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customFormat="false" ht="13.8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customFormat="false" ht="13.8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customFormat="false" ht="13.8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customFormat="false" ht="13.8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customFormat="false" ht="13.8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customFormat="false" ht="13.8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customFormat="false" ht="13.8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customFormat="false" ht="13.8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customFormat="false" ht="13.8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customFormat="false" ht="13.8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customFormat="false" ht="13.8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customFormat="false" ht="13.8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customFormat="false" ht="13.8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customFormat="false" ht="13.8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customFormat="false" ht="13.8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customFormat="false" ht="13.8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customFormat="false" ht="13.8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customFormat="false" ht="13.8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customFormat="false" ht="13.8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customFormat="false" ht="13.8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customFormat="false" ht="13.8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customFormat="false" ht="13.8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customFormat="false" ht="13.8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customFormat="false" ht="13.8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customFormat="false" ht="13.8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customFormat="false" ht="13.8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customFormat="false" ht="13.8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customFormat="false" ht="13.8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customFormat="false" ht="13.8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customFormat="false" ht="13.8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customFormat="false" ht="13.8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customFormat="false" ht="13.8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customFormat="false" ht="13.8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customFormat="false" ht="13.8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customFormat="false" ht="13.8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customFormat="false" ht="13.8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customFormat="false" ht="13.8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customFormat="false" ht="13.8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customFormat="false" ht="13.8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customFormat="false" ht="13.8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customFormat="false" ht="13.8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customFormat="false" ht="13.8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customFormat="false" ht="13.8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customFormat="false" ht="13.8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customFormat="false" ht="13.8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customFormat="false" ht="13.8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customFormat="false" ht="13.8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customFormat="false" ht="13.8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customFormat="false" ht="13.8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customFormat="false" ht="13.8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customFormat="false" ht="13.8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customFormat="false" ht="13.8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customFormat="false" ht="13.8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customFormat="false" ht="13.8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customFormat="false" ht="13.8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customFormat="false" ht="13.8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customFormat="false" ht="13.8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customFormat="false" ht="13.8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customFormat="false" ht="13.8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customFormat="false" ht="13.8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customFormat="false" ht="13.8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customFormat="false" ht="13.8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customFormat="false" ht="13.8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customFormat="false" ht="13.8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customFormat="false" ht="13.8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customFormat="false" ht="13.8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customFormat="false" ht="13.8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customFormat="false" ht="13.8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customFormat="false" ht="13.8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customFormat="false" ht="13.8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customFormat="false" ht="13.8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customFormat="false" ht="13.8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customFormat="false" ht="13.8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customFormat="false" ht="13.8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customFormat="false" ht="13.8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customFormat="false" ht="13.8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customFormat="false" ht="13.8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customFormat="false" ht="13.8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customFormat="false" ht="13.8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customFormat="false" ht="13.8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customFormat="false" ht="13.8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customFormat="false" ht="13.8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customFormat="false" ht="13.8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customFormat="false" ht="13.8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customFormat="false" ht="13.8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customFormat="false" ht="13.8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customFormat="false" ht="13.8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customFormat="false" ht="13.8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customFormat="false" ht="13.8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customFormat="false" ht="13.8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customFormat="false" ht="13.8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customFormat="false" ht="13.8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customFormat="false" ht="13.8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customFormat="false" ht="13.8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customFormat="false" ht="13.8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customFormat="false" ht="13.8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customFormat="false" ht="13.8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customFormat="false" ht="13.8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customFormat="false" ht="13.8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customFormat="false" ht="13.8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customFormat="false" ht="13.8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customFormat="false" ht="13.8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customFormat="false" ht="13.8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customFormat="false" ht="13.8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customFormat="false" ht="13.8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customFormat="false" ht="13.8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customFormat="false" ht="13.8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customFormat="false" ht="13.8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customFormat="false" ht="13.8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customFormat="false" ht="13.8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customFormat="false" ht="13.8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customFormat="false" ht="13.8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customFormat="false" ht="13.8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customFormat="false" ht="13.8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customFormat="false" ht="13.8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customFormat="false" ht="13.8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customFormat="false" ht="13.8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customFormat="false" ht="13.8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customFormat="false" ht="13.8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customFormat="false" ht="13.8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customFormat="false" ht="13.8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customFormat="false" ht="13.8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customFormat="false" ht="13.8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customFormat="false" ht="13.8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customFormat="false" ht="13.8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customFormat="false" ht="13.8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customFormat="false" ht="13.8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customFormat="false" ht="13.8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customFormat="false" ht="13.8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customFormat="false" ht="13.8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customFormat="false" ht="13.8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customFormat="false" ht="13.8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customFormat="false" ht="13.8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customFormat="false" ht="13.8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customFormat="false" ht="13.8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customFormat="false" ht="13.8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customFormat="false" ht="13.8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customFormat="false" ht="13.8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customFormat="false" ht="13.8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customFormat="false" ht="13.8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customFormat="false" ht="13.8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customFormat="false" ht="13.8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customFormat="false" ht="13.8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customFormat="false" ht="13.8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customFormat="false" ht="13.8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customFormat="false" ht="13.8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customFormat="false" ht="13.8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customFormat="false" ht="13.8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customFormat="false" ht="13.8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customFormat="false" ht="13.8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customFormat="false" ht="13.8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customFormat="false" ht="13.8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customFormat="false" ht="13.8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customFormat="false" ht="13.8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customFormat="false" ht="13.8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customFormat="false" ht="13.8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customFormat="false" ht="13.8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customFormat="false" ht="13.8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customFormat="false" ht="13.8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customFormat="false" ht="13.8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customFormat="false" ht="13.8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customFormat="false" ht="13.8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customFormat="false" ht="13.8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customFormat="false" ht="13.8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customFormat="false" ht="13.8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customFormat="false" ht="13.8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customFormat="false" ht="13.8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customFormat="false" ht="13.8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customFormat="false" ht="13.8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customFormat="false" ht="13.8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customFormat="false" ht="13.8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customFormat="false" ht="13.8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customFormat="false" ht="13.8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customFormat="false" ht="13.8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customFormat="false" ht="13.8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customFormat="false" ht="13.8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customFormat="false" ht="13.8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customFormat="false" ht="13.8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customFormat="false" ht="13.8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customFormat="false" ht="13.8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customFormat="false" ht="13.8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customFormat="false" ht="13.8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customFormat="false" ht="13.8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customFormat="false" ht="13.8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customFormat="false" ht="13.8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customFormat="false" ht="13.8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customFormat="false" ht="13.8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customFormat="false" ht="13.8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customFormat="false" ht="13.8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customFormat="false" ht="13.8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customFormat="false" ht="13.8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customFormat="false" ht="13.8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customFormat="false" ht="13.8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customFormat="false" ht="13.8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customFormat="false" ht="13.8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customFormat="false" ht="13.8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customFormat="false" ht="13.8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customFormat="false" ht="13.8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customFormat="false" ht="13.8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customFormat="false" ht="13.8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customFormat="false" ht="13.8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customFormat="false" ht="13.8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customFormat="false" ht="13.8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customFormat="false" ht="13.8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customFormat="false" ht="13.8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customFormat="false" ht="13.8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customFormat="false" ht="13.8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customFormat="false" ht="13.8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customFormat="false" ht="13.8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customFormat="false" ht="13.8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customFormat="false" ht="13.8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customFormat="false" ht="13.8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customFormat="false" ht="13.8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customFormat="false" ht="13.8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customFormat="false" ht="13.8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customFormat="false" ht="13.8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customFormat="false" ht="13.8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customFormat="false" ht="13.8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customFormat="false" ht="13.8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customFormat="false" ht="13.8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customFormat="false" ht="13.8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customFormat="false" ht="13.8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customFormat="false" ht="13.8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customFormat="false" ht="13.8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customFormat="false" ht="13.8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customFormat="false" ht="13.8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customFormat="false" ht="13.8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customFormat="false" ht="13.8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customFormat="false" ht="13.8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customFormat="false" ht="13.8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customFormat="false" ht="13.8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customFormat="false" ht="13.8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customFormat="false" ht="13.8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customFormat="false" ht="13.8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customFormat="false" ht="13.8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customFormat="false" ht="13.8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customFormat="false" ht="13.8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customFormat="false" ht="13.8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customFormat="false" ht="13.8" hidden="false" customHeight="fals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customFormat="false" ht="13.8" hidden="false" customHeight="fals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customFormat="false" ht="13.8" hidden="false" customHeight="fals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customFormat="false" ht="13.8" hidden="false" customHeight="fals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customFormat="false" ht="13.8" hidden="false" customHeight="fals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customFormat="false" ht="13.8" hidden="false" customHeight="fals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customFormat="false" ht="13.8" hidden="false" customHeight="fals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customFormat="false" ht="13.8" hidden="false" customHeight="fals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customFormat="false" ht="13.8" hidden="false" customHeight="fals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customFormat="false" ht="13.8" hidden="false" customHeight="fals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  <row r="1014" customFormat="false" ht="13.8" hidden="false" customHeight="false" outlineLevel="0" collapsed="false">
      <c r="A1014" s="1"/>
      <c r="B1014" s="1"/>
      <c r="C1014" s="1"/>
      <c r="D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</row>
  </sheetData>
  <mergeCells count="13">
    <mergeCell ref="B3:C3"/>
    <mergeCell ref="E3:G3"/>
    <mergeCell ref="E7:G7"/>
    <mergeCell ref="E15:G15"/>
    <mergeCell ref="E23:G23"/>
    <mergeCell ref="E33:G33"/>
    <mergeCell ref="E35:G35"/>
    <mergeCell ref="E39:G39"/>
    <mergeCell ref="E41:G41"/>
    <mergeCell ref="E47:G47"/>
    <mergeCell ref="E50:G50"/>
    <mergeCell ref="E54:G54"/>
    <mergeCell ref="E57:G57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2025-12-01T16:00:21Z</dcterms:modified>
  <cp:revision>1</cp:revision>
  <dc:subject/>
  <dc:title/>
</cp:coreProperties>
</file>